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N:\개인\시골산BOX\PY_Stat\in_files\"/>
    </mc:Choice>
  </mc:AlternateContent>
  <xr:revisionPtr revIDLastSave="0" documentId="13_ncr:1_{B915985E-AA88-4B91-9843-04BCD3BB3068}" xr6:coauthVersionLast="47" xr6:coauthVersionMax="47" xr10:uidLastSave="{00000000-0000-0000-0000-000000000000}"/>
  <bookViews>
    <workbookView xWindow="1390" yWindow="1910" windowWidth="33510" windowHeight="17910" xr2:uid="{00000000-000D-0000-FFFF-FFFF00000000}"/>
  </bookViews>
  <sheets>
    <sheet name="Sheet1" sheetId="1" r:id="rId1"/>
    <sheet name="주석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F4" i="1"/>
  <c r="F3" i="1"/>
  <c r="E3" i="1"/>
  <c r="H3" i="1" s="1"/>
  <c r="E4" i="1"/>
  <c r="L4" i="1" s="1"/>
  <c r="E2" i="1"/>
  <c r="G3" i="1" l="1"/>
  <c r="G4" i="1"/>
  <c r="H4" i="1"/>
  <c r="K4" i="1"/>
</calcChain>
</file>

<file path=xl/sharedStrings.xml><?xml version="1.0" encoding="utf-8"?>
<sst xmlns="http://schemas.openxmlformats.org/spreadsheetml/2006/main" count="16" uniqueCount="14">
  <si>
    <t>2.1.2.2.4. 국내총생산에 대한 지출(원계열, 실질, 분기 및 연간)</t>
  </si>
  <si>
    <t>주석</t>
  </si>
  <si>
    <t xml:space="preserve">통계담당 : </t>
  </si>
  <si>
    <t>경제통계국 지출국민소득팀(02-759-4420)보도자료</t>
  </si>
  <si>
    <t xml:space="preserve">주 : </t>
  </si>
  <si>
    <t>(1) 분기속보 : 해당 분기 종료 후 28일 이내, 분기잠정 : 해당 분기 종료 후 70일 이내</t>
  </si>
  <si>
    <t>(2) 연간 잠정치 : 해당 연도 종료 후 3개월 내에 국민소득(잠정), 6개월 내에 국민계정(잠정)이 공표</t>
  </si>
  <si>
    <t>, 연간확정 : 해당 연도 종료 후 18개월 이내. 연간잠정 시에는 일부 기초자료를 이용하지 못함에 따라 추후 공표될 연간확정과 차이가 있을 수 있으며 시계열 분석 시 유의바람</t>
  </si>
  <si>
    <t>(3) 연쇄가중법에 의해 추계된 실질 GDP통계는 비가법적 특성에 의해 총량(또는 상위부문) 금액과 그 구성항목 금액의 합이 일치하지 않음</t>
  </si>
  <si>
    <t>(4) 개별 구성항목의 연쇄금액은 구성항목 내에서의 상대적 중요도를 정확하게 반영하지 못할 수 있으므로 상대비교 시에는 주의를 요함. 각 구성항목의 기여도는 2.1.5. GDP에 대한 성장기여도를 참조</t>
  </si>
  <si>
    <t>산술</t>
    <phoneticPr fontId="4" type="noConversion"/>
  </si>
  <si>
    <t>이그젝</t>
    <phoneticPr fontId="4" type="noConversion"/>
  </si>
  <si>
    <t>yy</t>
    <phoneticPr fontId="4" type="noConversion"/>
  </si>
  <si>
    <t>gdp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</si>
</sst>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color rgb="FF000000"/>
      <name val="Tahoma"/>
    </font>
    <font>
      <sz val="10.5"/>
      <color rgb="FF555555"/>
      <name val="Noto Sans KR"/>
      <family val="3"/>
      <charset val="129"/>
    </font>
    <font>
      <sz val="10.5"/>
      <color rgb="FF888282"/>
      <name val="Noto Sans KR"/>
      <family val="3"/>
      <charset val="129"/>
    </font>
    <font>
      <sz val="10"/>
      <color rgb="FF000000"/>
      <name val="Tahoma"/>
      <family val="2"/>
    </font>
    <font>
      <sz val="8"/>
      <name val="돋움"/>
      <family val="3"/>
      <charset val="129"/>
    </font>
    <font>
      <sz val="10"/>
      <color rgb="FF000000"/>
      <name val="Arial Unicode MS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4E7EB"/>
      </patternFill>
    </fill>
  </fills>
  <borders count="3">
    <border>
      <left/>
      <right/>
      <top/>
      <bottom/>
      <diagonal/>
    </border>
    <border>
      <left/>
      <right style="thin">
        <color rgb="FFDBDBDB"/>
      </right>
      <top style="thin">
        <color rgb="FFDBDBDB"/>
      </top>
      <bottom style="thin">
        <color rgb="FFDBDBDB"/>
      </bottom>
      <diagonal/>
    </border>
    <border>
      <left/>
      <right style="thin">
        <color rgb="FFD2D5DA"/>
      </right>
      <top/>
      <bottom style="thin">
        <color rgb="FFD2D5DA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left" vertical="center"/>
    </xf>
    <xf numFmtId="49" fontId="3" fillId="0" borderId="0" xfId="0" applyNumberFormat="1" applyFont="1">
      <alignment vertical="center"/>
    </xf>
    <xf numFmtId="0" fontId="5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6"/>
  <sheetViews>
    <sheetView tabSelected="1" workbookViewId="0">
      <selection activeCell="E8" sqref="E8"/>
    </sheetView>
  </sheetViews>
  <sheetFormatPr defaultRowHeight="12.5"/>
  <cols>
    <col min="1" max="1" width="18"/>
    <col min="2" max="2" width="14"/>
  </cols>
  <sheetData>
    <row r="1" spans="1:12" ht="23.25" customHeight="1">
      <c r="A1" s="1" t="s">
        <v>12</v>
      </c>
      <c r="B1" s="1" t="s">
        <v>13</v>
      </c>
      <c r="G1" s="6" t="s">
        <v>10</v>
      </c>
      <c r="H1" s="6" t="s">
        <v>11</v>
      </c>
      <c r="K1" s="6" t="s">
        <v>10</v>
      </c>
      <c r="L1" s="6" t="s">
        <v>11</v>
      </c>
    </row>
    <row r="2" spans="1:12" ht="23.25" customHeight="1">
      <c r="A2">
        <v>1971</v>
      </c>
      <c r="B2">
        <v>85346.2</v>
      </c>
      <c r="D2">
        <v>1975</v>
      </c>
      <c r="E2">
        <f>VLOOKUP(D2, A:B, 2, 0)</f>
        <v>124648.7</v>
      </c>
    </row>
    <row r="3" spans="1:12" ht="23.25" customHeight="1">
      <c r="A3">
        <v>1972</v>
      </c>
      <c r="B3">
        <v>91607.9</v>
      </c>
      <c r="D3">
        <v>2000</v>
      </c>
      <c r="E3">
        <f>VLOOKUP(D3, A:B, 2, 0)</f>
        <v>998289.1</v>
      </c>
      <c r="F3">
        <f>D3-D2</f>
        <v>25</v>
      </c>
      <c r="G3">
        <f>(E3/E2-1)/F3</f>
        <v>0.28035283159792279</v>
      </c>
      <c r="H3">
        <f>(E3/E2)^(1/F3)-1</f>
        <v>8.6782766477617068E-2</v>
      </c>
    </row>
    <row r="4" spans="1:12" ht="23.25" customHeight="1">
      <c r="A4">
        <v>1973</v>
      </c>
      <c r="B4">
        <v>105325.9</v>
      </c>
      <c r="D4">
        <v>2025</v>
      </c>
      <c r="E4">
        <f>VLOOKUP(D4, A:B, 2, 0)</f>
        <v>2315285.2999999998</v>
      </c>
      <c r="F4">
        <f>D4-D3</f>
        <v>25</v>
      </c>
      <c r="G4">
        <f>(E4/E3-1)/F4</f>
        <v>5.2770132419556609E-2</v>
      </c>
      <c r="H4">
        <f>(E4/E3)^(1/F4)-1</f>
        <v>3.4222370420109005E-2</v>
      </c>
      <c r="J4">
        <f>D4-D2</f>
        <v>50</v>
      </c>
      <c r="K4">
        <f>(E4/E2-1)/J4</f>
        <v>0.35148968260399022</v>
      </c>
      <c r="L4">
        <f>(E4/E2)^(1/J4)-1</f>
        <v>6.0176895087892923E-2</v>
      </c>
    </row>
    <row r="5" spans="1:12" ht="23.25" customHeight="1">
      <c r="A5">
        <v>1974</v>
      </c>
      <c r="B5">
        <v>115488.7</v>
      </c>
    </row>
    <row r="6" spans="1:12" ht="23.25" customHeight="1">
      <c r="A6">
        <v>1975</v>
      </c>
      <c r="B6">
        <v>124648.7</v>
      </c>
      <c r="D6" s="2"/>
      <c r="E6" s="3"/>
      <c r="F6" s="5"/>
    </row>
    <row r="7" spans="1:12" ht="23.25" customHeight="1">
      <c r="A7">
        <v>1976</v>
      </c>
      <c r="B7">
        <v>141181.1</v>
      </c>
      <c r="D7" s="2"/>
      <c r="E7" s="3"/>
      <c r="F7" s="5"/>
    </row>
    <row r="8" spans="1:12" ht="23.25" customHeight="1">
      <c r="A8">
        <v>1977</v>
      </c>
      <c r="B8">
        <v>158655.5</v>
      </c>
      <c r="D8" s="2"/>
      <c r="E8" s="3"/>
      <c r="F8" s="5"/>
    </row>
    <row r="9" spans="1:12" ht="23.25" customHeight="1">
      <c r="A9">
        <v>1978</v>
      </c>
      <c r="B9">
        <v>176217.8</v>
      </c>
      <c r="D9" s="5"/>
    </row>
    <row r="10" spans="1:12" ht="23.25" customHeight="1">
      <c r="A10">
        <v>1979</v>
      </c>
      <c r="B10">
        <v>191613.8</v>
      </c>
    </row>
    <row r="11" spans="1:12" ht="23.25" customHeight="1">
      <c r="A11">
        <v>1980</v>
      </c>
      <c r="B11">
        <v>188693.1</v>
      </c>
    </row>
    <row r="12" spans="1:12" ht="23.25" customHeight="1">
      <c r="A12">
        <v>1981</v>
      </c>
      <c r="B12">
        <v>202663.6</v>
      </c>
    </row>
    <row r="13" spans="1:12" ht="23.25" customHeight="1">
      <c r="A13">
        <v>1982</v>
      </c>
      <c r="B13">
        <v>219825.7</v>
      </c>
    </row>
    <row r="14" spans="1:12" ht="23.25" customHeight="1">
      <c r="A14">
        <v>1983</v>
      </c>
      <c r="B14">
        <v>249429.2</v>
      </c>
    </row>
    <row r="15" spans="1:12" ht="23.25" customHeight="1">
      <c r="A15">
        <v>1984</v>
      </c>
      <c r="B15">
        <v>275960</v>
      </c>
    </row>
    <row r="16" spans="1:12" ht="23.25" customHeight="1">
      <c r="A16">
        <v>1985</v>
      </c>
      <c r="B16">
        <v>297867.90000000002</v>
      </c>
    </row>
    <row r="17" spans="1:2" ht="23.25" customHeight="1">
      <c r="A17">
        <v>1986</v>
      </c>
      <c r="B17">
        <v>332131.59999999998</v>
      </c>
    </row>
    <row r="18" spans="1:2" ht="23.25" customHeight="1">
      <c r="A18">
        <v>1987</v>
      </c>
      <c r="B18">
        <v>374950.7</v>
      </c>
    </row>
    <row r="19" spans="1:2" ht="23.25" customHeight="1">
      <c r="A19">
        <v>1988</v>
      </c>
      <c r="B19">
        <v>420444.2</v>
      </c>
    </row>
    <row r="20" spans="1:2" ht="23.25" customHeight="1">
      <c r="A20">
        <v>1989</v>
      </c>
      <c r="B20">
        <v>450569.1</v>
      </c>
    </row>
    <row r="21" spans="1:2" ht="23.25" customHeight="1">
      <c r="A21">
        <v>1990</v>
      </c>
      <c r="B21">
        <v>495738.2</v>
      </c>
    </row>
    <row r="22" spans="1:2" ht="23.25" customHeight="1">
      <c r="A22">
        <v>1991</v>
      </c>
      <c r="B22">
        <v>549649.6</v>
      </c>
    </row>
    <row r="23" spans="1:2" ht="23.25" customHeight="1">
      <c r="A23">
        <v>1992</v>
      </c>
      <c r="B23">
        <v>584561.1</v>
      </c>
    </row>
    <row r="24" spans="1:2" ht="23.25" customHeight="1">
      <c r="A24">
        <v>1993</v>
      </c>
      <c r="B24">
        <v>625449.5</v>
      </c>
    </row>
    <row r="25" spans="1:2" ht="23.25" customHeight="1">
      <c r="A25">
        <v>1994</v>
      </c>
      <c r="B25">
        <v>684065.6</v>
      </c>
    </row>
    <row r="26" spans="1:2" ht="23.25" customHeight="1">
      <c r="A26">
        <v>1995</v>
      </c>
      <c r="B26">
        <v>750665.5</v>
      </c>
    </row>
    <row r="27" spans="1:2" ht="23.25" customHeight="1">
      <c r="A27">
        <v>1996</v>
      </c>
      <c r="B27">
        <v>810646.9</v>
      </c>
    </row>
    <row r="28" spans="1:2" ht="23.25" customHeight="1">
      <c r="A28">
        <v>1997</v>
      </c>
      <c r="B28">
        <v>861573.3</v>
      </c>
    </row>
    <row r="29" spans="1:2" ht="23.25" customHeight="1">
      <c r="A29">
        <v>1998</v>
      </c>
      <c r="B29">
        <v>819020.80000000005</v>
      </c>
    </row>
    <row r="30" spans="1:2" ht="23.25" customHeight="1">
      <c r="A30">
        <v>1999</v>
      </c>
      <c r="B30">
        <v>914168.6</v>
      </c>
    </row>
    <row r="31" spans="1:2" ht="23.25" customHeight="1">
      <c r="A31">
        <v>2000</v>
      </c>
      <c r="B31">
        <v>998289.1</v>
      </c>
    </row>
    <row r="32" spans="1:2" ht="23.25" customHeight="1">
      <c r="A32">
        <v>2001</v>
      </c>
      <c r="B32">
        <v>1045467.6</v>
      </c>
    </row>
    <row r="33" spans="1:2" ht="23.25" customHeight="1">
      <c r="A33">
        <v>2002</v>
      </c>
      <c r="B33">
        <v>1126428.6000000001</v>
      </c>
    </row>
    <row r="34" spans="1:2" ht="23.25" customHeight="1">
      <c r="A34">
        <v>2003</v>
      </c>
      <c r="B34">
        <v>1161063.2</v>
      </c>
    </row>
    <row r="35" spans="1:2" ht="23.25" customHeight="1">
      <c r="A35">
        <v>2004</v>
      </c>
      <c r="B35">
        <v>1221248.5</v>
      </c>
    </row>
    <row r="36" spans="1:2" ht="23.25" customHeight="1">
      <c r="A36">
        <v>2005</v>
      </c>
      <c r="B36">
        <v>1274473.3999999999</v>
      </c>
    </row>
    <row r="37" spans="1:2" ht="23.25" customHeight="1">
      <c r="A37">
        <v>2006</v>
      </c>
      <c r="B37">
        <v>1341319.6000000001</v>
      </c>
    </row>
    <row r="38" spans="1:2" ht="23.25" customHeight="1">
      <c r="A38">
        <v>2007</v>
      </c>
      <c r="B38">
        <v>1419679</v>
      </c>
    </row>
    <row r="39" spans="1:2" ht="23.25" customHeight="1">
      <c r="A39">
        <v>2008</v>
      </c>
      <c r="B39">
        <v>1462331.9</v>
      </c>
    </row>
    <row r="40" spans="1:2" ht="23.25" customHeight="1">
      <c r="A40">
        <v>2009</v>
      </c>
      <c r="B40">
        <v>1474321</v>
      </c>
    </row>
    <row r="41" spans="1:2" ht="23.25" customHeight="1">
      <c r="A41">
        <v>2010</v>
      </c>
      <c r="B41">
        <v>1577253.1</v>
      </c>
    </row>
    <row r="42" spans="1:2" ht="23.25" customHeight="1">
      <c r="A42">
        <v>2011</v>
      </c>
      <c r="B42">
        <v>1635422.7</v>
      </c>
    </row>
    <row r="43" spans="1:2" ht="23.25" customHeight="1">
      <c r="A43">
        <v>2012</v>
      </c>
      <c r="B43">
        <v>1677087.8</v>
      </c>
    </row>
    <row r="44" spans="1:2" ht="23.25" customHeight="1">
      <c r="A44">
        <v>2013</v>
      </c>
      <c r="B44">
        <v>1732287.4</v>
      </c>
    </row>
    <row r="45" spans="1:2" ht="23.25" customHeight="1">
      <c r="A45">
        <v>2014</v>
      </c>
      <c r="B45">
        <v>1787974.9</v>
      </c>
    </row>
    <row r="46" spans="1:2" ht="23.25" customHeight="1">
      <c r="A46">
        <v>2015</v>
      </c>
      <c r="B46">
        <v>1840189</v>
      </c>
    </row>
    <row r="47" spans="1:2" ht="23.25" customHeight="1">
      <c r="A47">
        <v>2016</v>
      </c>
      <c r="B47">
        <v>1898551.1</v>
      </c>
    </row>
    <row r="48" spans="1:2" ht="23.25" customHeight="1">
      <c r="A48">
        <v>2017</v>
      </c>
      <c r="B48">
        <v>1963732</v>
      </c>
    </row>
    <row r="49" spans="1:2" ht="23.25" customHeight="1">
      <c r="A49">
        <v>2018</v>
      </c>
      <c r="B49">
        <v>2026102.4</v>
      </c>
    </row>
    <row r="50" spans="1:2" ht="23.25" customHeight="1">
      <c r="A50">
        <v>2019</v>
      </c>
      <c r="B50">
        <v>2072982.4</v>
      </c>
    </row>
    <row r="51" spans="1:2" ht="23.25" customHeight="1">
      <c r="A51">
        <v>2020</v>
      </c>
      <c r="B51">
        <v>2058466.5</v>
      </c>
    </row>
    <row r="52" spans="1:2" ht="23.25" customHeight="1">
      <c r="A52">
        <v>2021</v>
      </c>
      <c r="B52">
        <v>2153422.9</v>
      </c>
    </row>
    <row r="53" spans="1:2" ht="23.25" customHeight="1">
      <c r="A53">
        <v>2022</v>
      </c>
      <c r="B53">
        <v>2212158.9</v>
      </c>
    </row>
    <row r="54" spans="1:2" ht="23.25" customHeight="1">
      <c r="A54">
        <v>2023</v>
      </c>
      <c r="B54">
        <v>2247177.7000000002</v>
      </c>
    </row>
    <row r="55" spans="1:2" ht="23.25" customHeight="1">
      <c r="A55">
        <v>2024</v>
      </c>
      <c r="B55">
        <v>2292202.4</v>
      </c>
    </row>
    <row r="56" spans="1:2" ht="23.25" customHeight="1">
      <c r="A56">
        <v>2025</v>
      </c>
      <c r="B56">
        <v>2315285.2999999998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2"/>
  <sheetViews>
    <sheetView workbookViewId="0"/>
  </sheetViews>
  <sheetFormatPr defaultRowHeight="12.5"/>
  <cols>
    <col min="1" max="1" width="128"/>
  </cols>
  <sheetData>
    <row r="1" spans="1:1" ht="23.25" customHeight="1">
      <c r="A1" s="1" t="s">
        <v>1</v>
      </c>
    </row>
    <row r="2" spans="1:1" ht="23.25" customHeight="1">
      <c r="A2" s="4" t="s">
        <v>0</v>
      </c>
    </row>
    <row r="3" spans="1:1" ht="23.25" customHeight="1">
      <c r="A3" s="4" t="s">
        <v>2</v>
      </c>
    </row>
    <row r="4" spans="1:1" ht="23.25" customHeight="1">
      <c r="A4" s="4" t="s">
        <v>3</v>
      </c>
    </row>
    <row r="5" spans="1:1" ht="23.25" customHeight="1">
      <c r="A5" s="4"/>
    </row>
    <row r="6" spans="1:1" ht="23.25" customHeight="1">
      <c r="A6" s="4"/>
    </row>
    <row r="7" spans="1:1" ht="23.25" customHeight="1">
      <c r="A7" s="4" t="s">
        <v>4</v>
      </c>
    </row>
    <row r="8" spans="1:1" ht="23.25" customHeight="1">
      <c r="A8" s="4" t="s">
        <v>5</v>
      </c>
    </row>
    <row r="9" spans="1:1" ht="23.25" customHeight="1">
      <c r="A9" s="4" t="s">
        <v>6</v>
      </c>
    </row>
    <row r="10" spans="1:1" ht="23.25" customHeight="1">
      <c r="A10" s="4" t="s">
        <v>7</v>
      </c>
    </row>
    <row r="11" spans="1:1" ht="23.25" customHeight="1">
      <c r="A11" s="4" t="s">
        <v>8</v>
      </c>
    </row>
    <row r="12" spans="1:1" ht="23.25" customHeight="1">
      <c r="A12" s="4" t="s">
        <v>9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주석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Wooritech</dc:creator>
  <cp:lastModifiedBy>Hyojee Joung</cp:lastModifiedBy>
  <dcterms:created xsi:type="dcterms:W3CDTF">2026-04-07T07:37:52Z</dcterms:created>
  <dcterms:modified xsi:type="dcterms:W3CDTF">2026-07-29T01:31:27Z</dcterms:modified>
</cp:coreProperties>
</file>